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tes" sheetId="1" state="visible" r:id="rId3"/>
    <sheet name="Model" sheetId="2" state="visible" r:id="rId4"/>
    <sheet name="Chain compar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<sst xmlns="http://schemas.openxmlformats.org/spreadsheetml/2006/main" count="47" uniqueCount="45">
  <si>
    <t xml:space="preserve">Model pricing</t>
  </si>
  <si>
    <t xml:space="preserve">List prices in US dollars per million tokens. Captured 2026-09-01.</t>
  </si>
  <si>
    <t xml:space="preserve">Prices change. Refresh from the vendor's pricing page before quoting a figure.</t>
  </si>
  <si>
    <t xml:space="preserve">Tier</t>
  </si>
  <si>
    <t xml:space="preserve">Model</t>
  </si>
  <si>
    <t xml:space="preserve">Input</t>
  </si>
  <si>
    <t xml:space="preserve">Output</t>
  </si>
  <si>
    <t xml:space="preserve">Cache read</t>
  </si>
  <si>
    <t xml:space="preserve">Cache write</t>
  </si>
  <si>
    <t xml:space="preserve">Typical use</t>
  </si>
  <si>
    <t xml:space="preserve">fast</t>
  </si>
  <si>
    <t xml:space="preserve">Haiku 4.5</t>
  </si>
  <si>
    <t xml:space="preserve">Classification, extraction, routing. High volume, low judgement.</t>
  </si>
  <si>
    <t xml:space="preserve">balanced</t>
  </si>
  <si>
    <t xml:space="preserve">Sonnet 5</t>
  </si>
  <si>
    <t xml:space="preserve">The default. Synthesis, drafting, code changes, most day-to-day work.</t>
  </si>
  <si>
    <t xml:space="preserve">deep</t>
  </si>
  <si>
    <t xml:space="preserve">Opus 5</t>
  </si>
  <si>
    <t xml:space="preserve">Design reasoning, adversarial review, marking other models' work.</t>
  </si>
  <si>
    <t xml:space="preserve">Blue = a figure you may change. Everything on the Model sheet is calculated from these.</t>
  </si>
  <si>
    <t xml:space="preserve">Cost model - one row per AI step in your blueprint</t>
  </si>
  <si>
    <t xml:space="preserve">Fill the blue columns. Black columns calculate. Tier must be one of: fast, balanced, deep - spelled exactly as on the Rates sheet.</t>
  </si>
  <si>
    <t xml:space="preserve">Retry allowance</t>
  </si>
  <si>
    <t xml:space="preserve">Share of runs that have to be repeated. 15% is the programme's starting assumption.</t>
  </si>
  <si>
    <t xml:space="preserve">Step in your blueprint</t>
  </si>
  <si>
    <t xml:space="preserve">Task type</t>
  </si>
  <si>
    <t xml:space="preserve">Runs per month</t>
  </si>
  <si>
    <t xml:space="preserve">Input tokens per run</t>
  </si>
  <si>
    <t xml:space="preserve">Output tokens per run</t>
  </si>
  <si>
    <t xml:space="preserve">Cost per run</t>
  </si>
  <si>
    <t xml:space="preserve">Monthly cost</t>
  </si>
  <si>
    <t xml:space="preserve">With retries</t>
  </si>
  <si>
    <t xml:space="preserve">Classify incoming ticket</t>
  </si>
  <si>
    <t xml:space="preserve">classify</t>
  </si>
  <si>
    <t xml:space="preserve">Total</t>
  </si>
  <si>
    <t xml:space="preserve">Row 7 is a worked example. Replace it with your own first step.</t>
  </si>
  <si>
    <t xml:space="preserve">Token counts come from your Week 2 ledger. Volumes come from data/helios-volumes.csv.</t>
  </si>
  <si>
    <t xml:space="preserve">Priced as designed, against the minimum shape</t>
  </si>
  <si>
    <t xml:space="preserve">Fill the blue cells from your two pricings of the release-notes chain.</t>
  </si>
  <si>
    <t xml:space="preserve">Steps</t>
  </si>
  <si>
    <t xml:space="preserve">Monthly cost with retries</t>
  </si>
  <si>
    <t xml:space="preserve">As designed</t>
  </si>
  <si>
    <t xml:space="preserve">Redesigned</t>
  </si>
  <si>
    <t xml:space="preserve">Gap</t>
  </si>
  <si>
    <t xml:space="preserve">Saving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</si>
</sst>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.00"/>
    <numFmt numFmtId="166" formatCode="0%"/>
    <numFmt numFmtId="167" formatCode="#,##0"/>
    <numFmt numFmtId="168" formatCode="\$#,##0.0000"/>
    <numFmt numFmtId="169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color rgb="FF6E6E6E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B1B1B"/>
        <bgColor rgb="FF333300"/>
      </patternFill>
    </fill>
    <fill>
      <patternFill patternType="solid">
        <fgColor rgb="FFFFFF00"/>
        <bgColor rgb="FFFFFF00"/>
      </patternFill>
    </fill>
    <fill>
      <patternFill patternType="solid">
        <fgColor rgb="FFF5F5F5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ACACA"/>
      </left>
      <right style="thin">
        <color rgb="FFCACACA"/>
      </right>
      <top style="thin">
        <color rgb="FFCACACA"/>
      </top>
      <bottom style="thin">
        <color rgb="FFCACAC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ACACA"/>
      <rgbColor rgb="FF808080"/>
      <rgbColor rgb="FF9999FF"/>
      <rgbColor rgb="FF993366"/>
      <rgbColor rgb="FFF5F5F5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E6E6E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1B1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2"/>
    <col collapsed="false" customWidth="true" hidden="false" outlineLevel="0" max="4" min="3" style="0" width="11"/>
    <col collapsed="false" customWidth="true" hidden="false" outlineLevel="0" max="5" min="5" style="0" width="12"/>
    <col collapsed="false" customWidth="true" hidden="false" outlineLevel="0" max="6" min="6" style="0" width="13"/>
    <col collapsed="false" customWidth="true" hidden="false" outlineLevel="0" max="7" min="7" style="0" width="62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5" customFormat="false" ht="27.75" hidden="false" customHeight="true" outlineLevel="0" collapsed="false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</row>
    <row r="6" customFormat="false" ht="15" hidden="false" customHeight="false" outlineLevel="0" collapsed="false">
      <c r="A6" s="4" t="s">
        <v>10</v>
      </c>
      <c r="B6" s="5" t="s">
        <v>11</v>
      </c>
      <c r="C6" s="6" t="n">
        <v>1</v>
      </c>
      <c r="D6" s="6" t="n">
        <v>5</v>
      </c>
      <c r="E6" s="6" t="n">
        <v>0.1</v>
      </c>
      <c r="F6" s="6" t="n">
        <v>1.25</v>
      </c>
      <c r="G6" s="5" t="s">
        <v>12</v>
      </c>
    </row>
    <row r="7" customFormat="false" ht="15" hidden="false" customHeight="false" outlineLevel="0" collapsed="false">
      <c r="A7" s="4" t="s">
        <v>13</v>
      </c>
      <c r="B7" s="5" t="s">
        <v>14</v>
      </c>
      <c r="C7" s="6" t="n">
        <v>3</v>
      </c>
      <c r="D7" s="6" t="n">
        <v>15</v>
      </c>
      <c r="E7" s="6" t="n">
        <v>0.3</v>
      </c>
      <c r="F7" s="6" t="n">
        <v>3.75</v>
      </c>
      <c r="G7" s="5" t="s">
        <v>15</v>
      </c>
    </row>
    <row r="8" customFormat="false" ht="15" hidden="false" customHeight="false" outlineLevel="0" collapsed="false">
      <c r="A8" s="4" t="s">
        <v>16</v>
      </c>
      <c r="B8" s="5" t="s">
        <v>17</v>
      </c>
      <c r="C8" s="6" t="n">
        <v>15</v>
      </c>
      <c r="D8" s="6" t="n">
        <v>75</v>
      </c>
      <c r="E8" s="6" t="n">
        <v>1.5</v>
      </c>
      <c r="F8" s="6" t="n">
        <v>18.75</v>
      </c>
      <c r="G8" s="5" t="s">
        <v>18</v>
      </c>
    </row>
    <row r="11" customFormat="false" ht="15" hidden="false" customHeight="false" outlineLevel="0" collapsed="false">
      <c r="A11" s="2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4" min="4" style="0" width="15"/>
    <col collapsed="false" customWidth="true" hidden="false" outlineLevel="0" max="5" min="5" style="0" width="20"/>
    <col collapsed="false" customWidth="true" hidden="false" outlineLevel="0" max="6" min="6" style="0" width="21"/>
    <col collapsed="false" customWidth="true" hidden="false" outlineLevel="0" max="7" min="7" style="0" width="13"/>
    <col collapsed="false" customWidth="true" hidden="false" outlineLevel="0" max="8" min="8" style="0" width="14"/>
    <col collapsed="false" customWidth="true" hidden="false" outlineLevel="0" max="9" min="9" style="0" width="13"/>
  </cols>
  <sheetData>
    <row r="1" customFormat="false" ht="16.15" hidden="false" customHeight="false" outlineLevel="0" collapsed="false">
      <c r="A1" s="1" t="s">
        <v>20</v>
      </c>
    </row>
    <row r="2" customFormat="false" ht="15" hidden="false" customHeight="false" outlineLevel="0" collapsed="false">
      <c r="A2" s="2" t="s">
        <v>21</v>
      </c>
    </row>
    <row r="4" customFormat="false" ht="15" hidden="false" customHeight="false" outlineLevel="0" collapsed="false">
      <c r="A4" s="7" t="s">
        <v>22</v>
      </c>
      <c r="B4" s="8" t="n">
        <v>0.15</v>
      </c>
      <c r="C4" s="2" t="s">
        <v>23</v>
      </c>
    </row>
    <row r="6" customFormat="false" ht="27.75" hidden="false" customHeight="true" outlineLevel="0" collapsed="false">
      <c r="A6" s="3" t="s">
        <v>24</v>
      </c>
      <c r="B6" s="3" t="s">
        <v>25</v>
      </c>
      <c r="C6" s="3" t="s">
        <v>3</v>
      </c>
      <c r="D6" s="3" t="s">
        <v>26</v>
      </c>
      <c r="E6" s="3" t="s">
        <v>27</v>
      </c>
      <c r="F6" s="3" t="s">
        <v>28</v>
      </c>
      <c r="G6" s="3" t="s">
        <v>29</v>
      </c>
      <c r="H6" s="3" t="s">
        <v>30</v>
      </c>
      <c r="I6" s="3" t="s">
        <v>31</v>
      </c>
    </row>
    <row r="7" customFormat="false" ht="15" hidden="false" customHeight="false" outlineLevel="0" collapsed="false">
      <c r="A7" s="9" t="s">
        <v>32</v>
      </c>
      <c r="B7" s="9" t="s">
        <v>33</v>
      </c>
      <c r="C7" s="9" t="s">
        <v>10</v>
      </c>
      <c r="D7" s="10" t="n">
        <v>220</v>
      </c>
      <c r="E7" s="10" t="n">
        <v>1800</v>
      </c>
      <c r="F7" s="10" t="n">
        <v>400</v>
      </c>
      <c r="G7" s="11" t="n">
        <f aca="false">IF($C7="","",(E7*INDEX(Rates!$C$6:$C$8,MATCH($C7,Rates!$A$6:$A$8,0))+F7*INDEX(Rates!$D$6:$D$8,MATCH($C7,Rates!$A$6:$A$8,0)))/1000000)</f>
        <v>0.0038</v>
      </c>
      <c r="H7" s="12" t="n">
        <f aca="false">IF($C7="","",G7*D7)</f>
        <v>0.836</v>
      </c>
      <c r="I7" s="12" t="n">
        <f aca="false">IF($C7="","",H7*(1+$B$4))</f>
        <v>0.9614</v>
      </c>
    </row>
    <row r="8" customFormat="false" ht="15" hidden="false" customHeight="false" outlineLevel="0" collapsed="false">
      <c r="A8" s="9"/>
      <c r="B8" s="9"/>
      <c r="C8" s="9"/>
      <c r="D8" s="10"/>
      <c r="E8" s="10"/>
      <c r="F8" s="10"/>
      <c r="G8" s="11" t="str">
        <f aca="false">IF($C8="","",(E8*INDEX(Rates!$C$6:$C$8,MATCH($C8,Rates!$A$6:$A$8,0))+F8*INDEX(Rates!$D$6:$D$8,MATCH($C8,Rates!$A$6:$A$8,0)))/1000000)</f>
        <v/>
      </c>
      <c r="H8" s="12" t="str">
        <f aca="false">IF($C8="","",G8*D8)</f>
        <v/>
      </c>
      <c r="I8" s="12" t="str">
        <f aca="false">IF($C8="","",H8*(1+$B$4))</f>
        <v/>
      </c>
    </row>
    <row r="9" customFormat="false" ht="15" hidden="false" customHeight="false" outlineLevel="0" collapsed="false">
      <c r="A9" s="9"/>
      <c r="B9" s="9"/>
      <c r="C9" s="9"/>
      <c r="D9" s="10"/>
      <c r="E9" s="10"/>
      <c r="F9" s="10"/>
      <c r="G9" s="11" t="str">
        <f aca="false">IF($C9="","",(E9*INDEX(Rates!$C$6:$C$8,MATCH($C9,Rates!$A$6:$A$8,0))+F9*INDEX(Rates!$D$6:$D$8,MATCH($C9,Rates!$A$6:$A$8,0)))/1000000)</f>
        <v/>
      </c>
      <c r="H9" s="12" t="str">
        <f aca="false">IF($C9="","",G9*D9)</f>
        <v/>
      </c>
      <c r="I9" s="12" t="str">
        <f aca="false">IF($C9="","",H9*(1+$B$4))</f>
        <v/>
      </c>
    </row>
    <row r="10" customFormat="false" ht="15" hidden="false" customHeight="false" outlineLevel="0" collapsed="false">
      <c r="A10" s="9"/>
      <c r="B10" s="9"/>
      <c r="C10" s="9"/>
      <c r="D10" s="10"/>
      <c r="E10" s="10"/>
      <c r="F10" s="10"/>
      <c r="G10" s="11" t="str">
        <f aca="false">IF($C10="","",(E10*INDEX(Rates!$C$6:$C$8,MATCH($C10,Rates!$A$6:$A$8,0))+F10*INDEX(Rates!$D$6:$D$8,MATCH($C10,Rates!$A$6:$A$8,0)))/1000000)</f>
        <v/>
      </c>
      <c r="H10" s="12" t="str">
        <f aca="false">IF($C10="","",G10*D10)</f>
        <v/>
      </c>
      <c r="I10" s="12" t="str">
        <f aca="false">IF($C10="","",H10*(1+$B$4))</f>
        <v/>
      </c>
    </row>
    <row r="11" customFormat="false" ht="15" hidden="false" customHeight="false" outlineLevel="0" collapsed="false">
      <c r="A11" s="9"/>
      <c r="B11" s="9"/>
      <c r="C11" s="9"/>
      <c r="D11" s="10"/>
      <c r="E11" s="10"/>
      <c r="F11" s="10"/>
      <c r="G11" s="11" t="str">
        <f aca="false">IF($C11="","",(E11*INDEX(Rates!$C$6:$C$8,MATCH($C11,Rates!$A$6:$A$8,0))+F11*INDEX(Rates!$D$6:$D$8,MATCH($C11,Rates!$A$6:$A$8,0)))/1000000)</f>
        <v/>
      </c>
      <c r="H11" s="12" t="str">
        <f aca="false">IF($C11="","",G11*D11)</f>
        <v/>
      </c>
      <c r="I11" s="12" t="str">
        <f aca="false">IF($C11="","",H11*(1+$B$4))</f>
        <v/>
      </c>
    </row>
    <row r="12" customFormat="false" ht="15" hidden="false" customHeight="false" outlineLevel="0" collapsed="false">
      <c r="A12" s="9"/>
      <c r="B12" s="9"/>
      <c r="C12" s="9"/>
      <c r="D12" s="10"/>
      <c r="E12" s="10"/>
      <c r="F12" s="10"/>
      <c r="G12" s="11" t="str">
        <f aca="false">IF($C12="","",(E12*INDEX(Rates!$C$6:$C$8,MATCH($C12,Rates!$A$6:$A$8,0))+F12*INDEX(Rates!$D$6:$D$8,MATCH($C12,Rates!$A$6:$A$8,0)))/1000000)</f>
        <v/>
      </c>
      <c r="H12" s="12" t="str">
        <f aca="false">IF($C12="","",G12*D12)</f>
        <v/>
      </c>
      <c r="I12" s="12" t="str">
        <f aca="false">IF($C12="","",H12*(1+$B$4))</f>
        <v/>
      </c>
    </row>
    <row r="13" customFormat="false" ht="15" hidden="false" customHeight="false" outlineLevel="0" collapsed="false">
      <c r="A13" s="9"/>
      <c r="B13" s="9"/>
      <c r="C13" s="9"/>
      <c r="D13" s="10"/>
      <c r="E13" s="10"/>
      <c r="F13" s="10"/>
      <c r="G13" s="11" t="str">
        <f aca="false">IF($C13="","",(E13*INDEX(Rates!$C$6:$C$8,MATCH($C13,Rates!$A$6:$A$8,0))+F13*INDEX(Rates!$D$6:$D$8,MATCH($C13,Rates!$A$6:$A$8,0)))/1000000)</f>
        <v/>
      </c>
      <c r="H13" s="12" t="str">
        <f aca="false">IF($C13="","",G13*D13)</f>
        <v/>
      </c>
      <c r="I13" s="12" t="str">
        <f aca="false">IF($C13="","",H13*(1+$B$4))</f>
        <v/>
      </c>
    </row>
    <row r="14" customFormat="false" ht="15" hidden="false" customHeight="false" outlineLevel="0" collapsed="false">
      <c r="A14" s="9"/>
      <c r="B14" s="9"/>
      <c r="C14" s="9"/>
      <c r="D14" s="10"/>
      <c r="E14" s="10"/>
      <c r="F14" s="10"/>
      <c r="G14" s="11" t="str">
        <f aca="false">IF($C14="","",(E14*INDEX(Rates!$C$6:$C$8,MATCH($C14,Rates!$A$6:$A$8,0))+F14*INDEX(Rates!$D$6:$D$8,MATCH($C14,Rates!$A$6:$A$8,0)))/1000000)</f>
        <v/>
      </c>
      <c r="H14" s="12" t="str">
        <f aca="false">IF($C14="","",G14*D14)</f>
        <v/>
      </c>
      <c r="I14" s="12" t="str">
        <f aca="false">IF($C14="","",H14*(1+$B$4))</f>
        <v/>
      </c>
    </row>
    <row r="15" customFormat="false" ht="15" hidden="false" customHeight="false" outlineLevel="0" collapsed="false">
      <c r="A15" s="9"/>
      <c r="B15" s="9"/>
      <c r="C15" s="9"/>
      <c r="D15" s="10"/>
      <c r="E15" s="10"/>
      <c r="F15" s="10"/>
      <c r="G15" s="11" t="str">
        <f aca="false">IF($C15="","",(E15*INDEX(Rates!$C$6:$C$8,MATCH($C15,Rates!$A$6:$A$8,0))+F15*INDEX(Rates!$D$6:$D$8,MATCH($C15,Rates!$A$6:$A$8,0)))/1000000)</f>
        <v/>
      </c>
      <c r="H15" s="12" t="str">
        <f aca="false">IF($C15="","",G15*D15)</f>
        <v/>
      </c>
      <c r="I15" s="12" t="str">
        <f aca="false">IF($C15="","",H15*(1+$B$4))</f>
        <v/>
      </c>
    </row>
    <row r="16" customFormat="false" ht="15" hidden="false" customHeight="false" outlineLevel="0" collapsed="false">
      <c r="A16" s="9"/>
      <c r="B16" s="9"/>
      <c r="C16" s="9"/>
      <c r="D16" s="10"/>
      <c r="E16" s="10"/>
      <c r="F16" s="10"/>
      <c r="G16" s="11" t="str">
        <f aca="false">IF($C16="","",(E16*INDEX(Rates!$C$6:$C$8,MATCH($C16,Rates!$A$6:$A$8,0))+F16*INDEX(Rates!$D$6:$D$8,MATCH($C16,Rates!$A$6:$A$8,0)))/1000000)</f>
        <v/>
      </c>
      <c r="H16" s="12" t="str">
        <f aca="false">IF($C16="","",G16*D16)</f>
        <v/>
      </c>
      <c r="I16" s="12" t="str">
        <f aca="false">IF($C16="","",H16*(1+$B$4))</f>
        <v/>
      </c>
    </row>
    <row r="17" customFormat="false" ht="15" hidden="false" customHeight="false" outlineLevel="0" collapsed="false">
      <c r="A17" s="9"/>
      <c r="B17" s="9"/>
      <c r="C17" s="9"/>
      <c r="D17" s="10"/>
      <c r="E17" s="10"/>
      <c r="F17" s="10"/>
      <c r="G17" s="11" t="str">
        <f aca="false">IF($C17="","",(E17*INDEX(Rates!$C$6:$C$8,MATCH($C17,Rates!$A$6:$A$8,0))+F17*INDEX(Rates!$D$6:$D$8,MATCH($C17,Rates!$A$6:$A$8,0)))/1000000)</f>
        <v/>
      </c>
      <c r="H17" s="12" t="str">
        <f aca="false">IF($C17="","",G17*D17)</f>
        <v/>
      </c>
      <c r="I17" s="12" t="str">
        <f aca="false">IF($C17="","",H17*(1+$B$4))</f>
        <v/>
      </c>
    </row>
    <row r="18" customFormat="false" ht="15" hidden="false" customHeight="false" outlineLevel="0" collapsed="false">
      <c r="A18" s="9"/>
      <c r="B18" s="9"/>
      <c r="C18" s="9"/>
      <c r="D18" s="10"/>
      <c r="E18" s="10"/>
      <c r="F18" s="10"/>
      <c r="G18" s="11" t="str">
        <f aca="false">IF($C18="","",(E18*INDEX(Rates!$C$6:$C$8,MATCH($C18,Rates!$A$6:$A$8,0))+F18*INDEX(Rates!$D$6:$D$8,MATCH($C18,Rates!$A$6:$A$8,0)))/1000000)</f>
        <v/>
      </c>
      <c r="H18" s="12" t="str">
        <f aca="false">IF($C18="","",G18*D18)</f>
        <v/>
      </c>
      <c r="I18" s="12" t="str">
        <f aca="false">IF($C18="","",H18*(1+$B$4))</f>
        <v/>
      </c>
    </row>
    <row r="19" customFormat="false" ht="15" hidden="false" customHeight="false" outlineLevel="0" collapsed="false">
      <c r="A19" s="7" t="s">
        <v>34</v>
      </c>
      <c r="G19" s="13"/>
      <c r="H19" s="14" t="n">
        <f aca="false">SUM(H7:H18)</f>
        <v>0.836</v>
      </c>
      <c r="I19" s="14" t="n">
        <f aca="false">SUM(I7:I18)</f>
        <v>0.9614</v>
      </c>
    </row>
    <row r="21" customFormat="false" ht="15" hidden="false" customHeight="false" outlineLevel="0" collapsed="false">
      <c r="A21" s="2" t="s">
        <v>35</v>
      </c>
    </row>
    <row r="22" customFormat="false" ht="15" hidden="false" customHeight="false" outlineLevel="0" collapsed="false">
      <c r="A22" s="2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2"/>
    <col collapsed="false" customWidth="true" hidden="false" outlineLevel="0" max="3" min="3" style="0" width="28"/>
  </cols>
  <sheetData>
    <row r="1" customFormat="false" ht="16.15" hidden="false" customHeight="false" outlineLevel="0" collapsed="false">
      <c r="A1" s="1" t="s">
        <v>37</v>
      </c>
    </row>
    <row r="2" customFormat="false" ht="15" hidden="false" customHeight="false" outlineLevel="0" collapsed="false">
      <c r="A2" s="2" t="s">
        <v>38</v>
      </c>
    </row>
    <row r="4" customFormat="false" ht="27.75" hidden="false" customHeight="true" outlineLevel="0" collapsed="false">
      <c r="A4" s="3"/>
      <c r="B4" s="3" t="s">
        <v>39</v>
      </c>
      <c r="C4" s="3" t="s">
        <v>40</v>
      </c>
    </row>
    <row r="5" customFormat="false" ht="15" hidden="false" customHeight="false" outlineLevel="0" collapsed="false">
      <c r="A5" s="4" t="s">
        <v>41</v>
      </c>
      <c r="B5" s="15"/>
      <c r="C5" s="16"/>
    </row>
    <row r="6" customFormat="false" ht="15" hidden="false" customHeight="false" outlineLevel="0" collapsed="false">
      <c r="A6" s="4" t="s">
        <v>42</v>
      </c>
      <c r="B6" s="15"/>
      <c r="C6" s="16"/>
    </row>
    <row r="7" customFormat="false" ht="15" hidden="false" customHeight="false" outlineLevel="0" collapsed="false">
      <c r="A7" s="7" t="s">
        <v>43</v>
      </c>
      <c r="C7" s="14" t="n">
        <f aca="false">C5-C6</f>
        <v>0</v>
      </c>
    </row>
    <row r="8" customFormat="false" ht="15" hidden="false" customHeight="false" outlineLevel="0" collapsed="false">
      <c r="A8" s="7" t="s">
        <v>44</v>
      </c>
      <c r="C8" s="17" t="str">
        <f aca="false">IF(C5=0,"",(C6-C5)/C5)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2026-09-10T13:48:13Z</dcterms:created>
  <dc:creator>openpyxl</dc:creator>
  <dc:description/>
  <dc:language>en-US</dc:language>
  <cp:lastModifiedBy/>
  <dcterms:modified xsi:type="dcterms:W3CDTF">2026-09-10T13:48:13Z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